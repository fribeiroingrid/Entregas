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050CAB1F-86D5-4BE6-B3E4-CF16501F0AC4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3" l="1"/>
  <c r="D38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<sst xmlns="http://schemas.openxmlformats.org/spreadsheetml/2006/main" count="2025" uniqueCount="327">
  <si>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</si>
  <si>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</si>
  <si>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</si>
  <si>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</si>
  <si>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</si>
  <si>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</si>
  <si>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</si>
  <si>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</si>
  <si>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</si>
  <si>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</si>
  <si>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</si>
  <si>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</si>
  <si>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</si>
  <si>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</si>
  <si>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</si>
  <si>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</si>
  <si>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</si>
  <si>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</si>
  <si>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</si>
  <si>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</si>
  <si>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</si>
  <si>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</si>
  <si>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</si>
  <si>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</si>
  <si>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</si>
  <si>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</si>
  <si>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</si>
  <si>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</si>
  <si>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</si>
  <si>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</si>
  <si>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</si>
  <si>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</si>
  <si>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</si>
  <si>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</si>
  <si>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</si>
  <si>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</si>
  <si>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</si>
  <si>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</si>
  <si>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</si>
  <si>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</si>
  <si>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</si>
  <si>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</si>
  <si>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</si>
  <si>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</si>
  <si>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</si>
  <si>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</si>
  <si>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</si>
  <si>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</si>
  <si>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</si>
  <si>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</si>
  <si>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</si>
  <si>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</si>
  <si>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</si>
  <si>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</si>
  <si>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</si>
  <si>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</si>
  <si>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</si>
  <si>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</si>
  <si>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</si>
  <si>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</si>
  <si>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</si>
  <si>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</si>
  <si>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</si>
  <si>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</si>
  <si>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</si>
  <si>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</si>
  <si>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</si>
  <si>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</si>
  <si>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</si>
  <si>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</si>
  <si>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</si>
  <si>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</si>
  <si>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</si>
  <si>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</si>
  <si>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</si>
  <si>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</si>
  <si>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</si>
  <si>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</si>
  <si>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</si>
  <si>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</si>
  <si>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</si>
  <si>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</si>
  <si>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</si>
  <si>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</si>
  <si>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</si>
  <si>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</si>
  <si>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</si>
  <si>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</si>
  <si>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</si>
  <si>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</si>
  <si>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</si>
  <si>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</si>
  <si>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</si>
  <si>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</si>
  <si>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</si>
  <si>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</si>
  <si>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</si>
  <si>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</si>
  <si>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</si>
  <si>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</si>
  <si>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</si>
  <si>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</si>
  <si>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</si>
  <si>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</si>
  <si>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</si>
  <si>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</si>
  <si>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</si>
  <si>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</si>
  <si>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</si>
  <si>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</si>
  <si>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</si>
  <si>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</si>
  <si>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</si>
  <si>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</si>
  <si>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</si>
  <si>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</si>
  <si>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</si>
  <si>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</si>
  <si>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</si>
  <si>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</si>
  <si>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</si>
  <si>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</si>
  <si>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</si>
  <si>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</si>
  <si>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</si>
  <si>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</si>
  <si>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</si>
  <si>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</si>
  <si>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</si>
  <si>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</si>
  <si>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</si>
  <si>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</si>
  <si>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</si>
  <si>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</si>
  <si>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</si>
  <si>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</si>
  <si>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</si>
  <si>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</si>
  <si>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</si>
  <si>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</si>
  <si>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</si>
  <si>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</si>
  <si>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</si>
  <si>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</si>
  <si>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</si>
  <si>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</si>
  <si>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</si>
  <si>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</si>
  <si>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</si>
  <si>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</si>
  <si>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</si>
  <si>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</si>
  <si>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</si>
  <si>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</si>
  <si>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</si>
  <si>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</si>
  <si>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</si>
  <si>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</si>
  <si>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</si>
  <si>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</si>
  <si>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</si>
  <si>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</si>
  <si>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</si>
  <si>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</si>
  <si>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</si>
  <si>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</si>
  <si>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</si>
  <si>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</si>
  <si>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</si>
  <si>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</si>
  <si>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</si>
  <si>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</si>
  <si>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</si>
  <si>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</si>
  <si>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</si>
  <si>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</si>
  <si>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</si>
  <si>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</si>
  <si>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</si>
  <si>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</si>
  <si>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</si>
  <si>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</si>
  <si>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</si>
  <si>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</si>
  <si>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</si>
  <si>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</si>
  <si>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</si>
  <si>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</si>
  <si>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</si>
  <si>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</si>
  <si>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</si>
  <si>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</si>
  <si>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</si>
  <si>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</si>
  <si>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</si>
  <si>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</si>
  <si>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</si>
  <si>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</si>
  <si>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</si>
  <si>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</si>
  <si>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</si>
  <si>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</si>
  <si>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</si>
  <si>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</si>
  <si>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</si>
  <si>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</si>
  <si>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</si>
  <si>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</si>
  <si>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</si>
  <si>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</si>
  <si>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</si>
  <si>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</si>
  <si>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</si>
  <si>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</si>
  <si>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</si>
  <si>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</si>
  <si>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</si>
  <si>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</si>
  <si>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</si>
  <si>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</si>
  <si>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</si>
  <si>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</si>
  <si>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</si>
  <si>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</si>
  <si>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</si>
  <si>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</si>
  <si>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</si>
  <si>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</si>
  <si>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</si>
  <si>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</si>
  <si>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</si>
  <si>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</si>
  <si>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</si>
  <si>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</si>
  <si>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</si>
  <si>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</si>
  <si>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</si>
  <si>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</si>
  <si>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</si>
  <si>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</si>
  <si>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</si>
  <si>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</si>
  <si>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</si>
  <si>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</si>
  <si>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</si>
  <si>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</si>
  <si>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</si>
  <si>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</si>
  <si>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</si>
  <si>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</si>
  <si>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</si>
  <si>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</si>
  <si>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</si>
  <si>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</si>
  <si>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</si>
  <si>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</si>
  <si>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</si>
  <si>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</si>
  <si>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</si>
  <si>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</si>
  <si>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</si>
  <si>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</si>
  <si>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</si>
  <si>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</si>
  <si>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</si>
  <si>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</si>
  <si>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</si>
  <si>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</si>
  <si>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</si>
  <si>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</si>
  <si>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</si>
  <si>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</si>
  <si>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</si>
  <si>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</si>
  <si>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</si>
  <si>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</si>
  <si>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</si>
  <si>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</si>
  <si>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</si>
  <si>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</si>
  <si>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</si>
  <si>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</si>
  <si>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</si>
  <si>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</si>
  <si>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</si>
  <si>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</si>
  <si>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</si>
  <si>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</si>
  <si>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</si>
  <si>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</si>
  <si>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</si>
  <si>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</si>
  <si>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</si>
  <si>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</si>
  <si>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</si>
  <si>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</si>
  <si>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</si>
  <si>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</si>
  <si>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</si>
  <si>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</si>
  <si>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</si>
  <si>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</si>
  <si>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</si>
  <si>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</si>
  <si>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</si>
  <si>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</si>
  <si>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</si>
  <si>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</si>
  <si>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</si>
  <si>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</si>
  <si>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</si>
  <si>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</si>
  <si>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</si>
  <si>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</si>
  <si>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</si>
  <si>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</si>
  <si>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1 - Qual o faturamento total de venda de planos anuais, considerando todas as assinaturas agregadas</t>
  </si>
  <si>
    <t>Pergunta 2 - Qual o faturamento total de vendas de planos anuais, classificados por auto renovação</t>
  </si>
  <si>
    <t>Rótulos de Coluna</t>
  </si>
  <si>
    <t>XBOX GAMES PASS SUBSCRIPTIONS SALES</t>
  </si>
  <si>
    <t>Soma de EA Play Season Pass</t>
  </si>
  <si>
    <t>(Vários itens)</t>
  </si>
  <si>
    <t>Pergunta 3 - Total de vendas assinaturas EA Play</t>
  </si>
  <si>
    <t>Pergunta 4 - Minecraft Season Pass</t>
  </si>
  <si>
    <t>Soma de Minecraft Season Pass Price</t>
  </si>
  <si>
    <t>Calculation period: 2024</t>
  </si>
  <si>
    <t>&gt;bem vinda!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</si>
</sst>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_-&quot;R$&quot;\ * #,##0_-;\-&quot;R$&quot;\ * #,##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22C55E"/>
      <name val="Segoe UI"/>
      <family val="2"/>
    </font>
    <font>
      <b/>
      <sz val="16"/>
      <color rgb="FF22C55E"/>
      <name val="Segoe UI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ill="1"/>
    <xf numFmtId="0" fontId="0" fillId="0" borderId="0" xfId="0" applyNumberFormat="1"/>
    <xf numFmtId="165" fontId="0" fillId="0" borderId="0" xfId="2" applyNumberFormat="1" applyFont="1"/>
    <xf numFmtId="0" fontId="4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6" fillId="7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2"/>
        <color theme="0"/>
        <name val="Segoe UI"/>
        <family val="2"/>
        <scheme val="none"/>
      </font>
      <border>
        <bottom style="thin">
          <color theme="4"/>
        </bottom>
        <vertical/>
        <horizontal/>
      </border>
    </dxf>
    <dxf>
      <font>
        <b val="0"/>
        <i val="0"/>
        <sz val="12"/>
        <color rgb="FF22C55E"/>
        <name val="Segoe U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1 2" pivot="0" table="0" count="10" xr9:uid="{C523A2D4-B5C3-4230-8D85-667AA1B6EC9E}">
      <tableStyleElement type="wholeTable" dxfId="1"/>
      <tableStyleElement type="headerRow" dxfId="0"/>
    </tableStyle>
  </tableStyles>
  <colors>
    <mruColors>
      <color rgb="FFFFFFFF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22C55E"/>
            <name val="Segoe UI"/>
            <family val="2"/>
            <scheme val="none"/>
          </font>
          <fill>
            <patternFill patternType="solid">
              <fgColor rgb="FF22C55E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[dash_xbox_vendas.xlsx]C̳álculos!Tbl_anual_total</c:name>
    <c:fmtId val="0"/>
  </c:pivotSource>
  <c:chart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C̳álculos!$B$7:$B$8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C̳álculos!$A$9:$A$11</c:f>
              <c:strCache>
                <c:ptCount val="2"/>
                <c:pt idx="0">
                  <c:v>Monthly</c:v>
                </c:pt>
                <c:pt idx="1">
                  <c:v>Quarterly</c:v>
                </c:pt>
              </c:strCache>
            </c:strRef>
          </c:cat>
          <c:val>
            <c:numRef>
              <c:f>C̳álculos!$B$9:$B$11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2-404B-938A-DFFD17E7006E}"/>
            </c:ext>
          </c:extLst>
        </c:ser>
        <c:ser>
          <c:idx val="1"/>
          <c:order val="1"/>
          <c:tx>
            <c:strRef>
              <c:f>C̳álculos!$C$7:$C$8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C̳álculos!$A$9:$A$11</c:f>
              <c:strCache>
                <c:ptCount val="2"/>
                <c:pt idx="0">
                  <c:v>Monthly</c:v>
                </c:pt>
                <c:pt idx="1">
                  <c:v>Quarterly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747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2-404B-938A-DFFD17E70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329215"/>
        <c:axId val="513343615"/>
      </c:barChart>
      <c:catAx>
        <c:axId val="513329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43615"/>
        <c:crosses val="autoZero"/>
        <c:auto val="1"/>
        <c:lblAlgn val="ctr"/>
        <c:lblOffset val="100"/>
        <c:noMultiLvlLbl val="0"/>
      </c:catAx>
      <c:valAx>
        <c:axId val="513343615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2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[dash_xbox_vendas.xlsx]C̳álculos!Tbl_anual_total</c:name>
    <c:fmtId val="12"/>
  </c:pivotSource>
  <c:chart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C̳álculos!$B$7:$B$8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Monthly</c:v>
                </c:pt>
                <c:pt idx="1">
                  <c:v>Quarterly</c:v>
                </c:pt>
              </c:strCache>
            </c:strRef>
          </c:cat>
          <c:val>
            <c:numRef>
              <c:f>C̳álculos!$B$9:$B$11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5-48A1-ADCB-9C047BB76939}"/>
            </c:ext>
          </c:extLst>
        </c:ser>
        <c:ser>
          <c:idx val="1"/>
          <c:order val="1"/>
          <c:tx>
            <c:strRef>
              <c:f>C̳álculos!$C$7:$C$8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Monthly</c:v>
                </c:pt>
                <c:pt idx="1">
                  <c:v>Quarterly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747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5-48A1-ADCB-9C047BB769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3329215"/>
        <c:axId val="513343615"/>
      </c:barChart>
      <c:catAx>
        <c:axId val="513329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343615"/>
        <c:crosses val="autoZero"/>
        <c:auto val="1"/>
        <c:lblAlgn val="ctr"/>
        <c:lblOffset val="100"/>
        <c:noMultiLvlLbl val="0"/>
      </c:catAx>
      <c:valAx>
        <c:axId val="5133436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1332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304800</xdr:colOff>
      <xdr:row>12</xdr:row>
      <xdr:rowOff>61912</xdr:rowOff>
    </xdr:from>
    <xdr:to>
      <xdr:col>5</xdr:col>
      <xdr:colOff>590550</xdr:colOff>
      <xdr:row>26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13EB6-79E9-C561-149F-584077D6C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219075</xdr:colOff>
      <xdr:row>11</xdr:row>
      <xdr:rowOff>152400</xdr:rowOff>
    </xdr:from>
    <xdr:to>
      <xdr:col>7</xdr:col>
      <xdr:colOff>200025</xdr:colOff>
      <xdr:row>25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E2C1F80-EDD9-51D4-2C8B-D8C17B635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0" y="22479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2168640</xdr:colOff>
      <xdr:row>1</xdr:row>
      <xdr:rowOff>0</xdr:rowOff>
    </xdr:from>
    <xdr:to>
      <xdr:col>2</xdr:col>
      <xdr:colOff>367393</xdr:colOff>
      <xdr:row>3</xdr:row>
      <xdr:rowOff>40822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9B7119-D2D7-43A8-A4C5-5F00F18C2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0" r="71151"/>
        <a:stretch>
          <a:fillRect/>
        </a:stretch>
      </xdr:blipFill>
      <xdr:spPr>
        <a:xfrm>
          <a:off x="2168640" y="190500"/>
          <a:ext cx="824932" cy="734786"/>
        </a:xfrm>
        <a:prstGeom prst="rect">
          <a:avLst/>
        </a:prstGeom>
      </xdr:spPr>
    </xdr:pic>
    <xdr:clientData/>
  </xdr:twoCellAnchor>
  <xdr:twoCellAnchor editAs="oneCell">
    <xdr:from>
      <xdr:col>0</xdr:col>
      <xdr:colOff>92190</xdr:colOff>
      <xdr:row>7</xdr:row>
      <xdr:rowOff>6805</xdr:rowOff>
    </xdr:from>
    <xdr:to>
      <xdr:col>0</xdr:col>
      <xdr:colOff>2081892</xdr:colOff>
      <xdr:row>13</xdr:row>
      <xdr:rowOff>122464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7F8F3F49-1494-4834-8EEE-72C171CF46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90" y="2129519"/>
              <a:ext cx="1989702" cy="1530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115660</xdr:colOff>
      <xdr:row>5</xdr:row>
      <xdr:rowOff>40820</xdr:rowOff>
    </xdr:from>
    <xdr:to>
      <xdr:col>7</xdr:col>
      <xdr:colOff>368985</xdr:colOff>
      <xdr:row>9</xdr:row>
      <xdr:rowOff>56129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D11EAF8C-5140-79FA-4BFF-3E4DBD3D410C}"/>
            </a:ext>
          </a:extLst>
        </xdr:cNvPr>
        <xdr:cNvGrpSpPr/>
      </xdr:nvGrpSpPr>
      <xdr:grpSpPr>
        <a:xfrm>
          <a:off x="3231696" y="1537606"/>
          <a:ext cx="3519039" cy="1376023"/>
          <a:chOff x="2357438" y="1119188"/>
          <a:chExt cx="2655093" cy="115490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9758352-5AAC-4F33-BC40-9CD0D227A06B}"/>
              </a:ext>
            </a:extLst>
          </xdr:cNvPr>
          <xdr:cNvSpPr/>
        </xdr:nvSpPr>
        <xdr:spPr>
          <a:xfrm>
            <a:off x="2357438" y="1119188"/>
            <a:ext cx="2655093" cy="1154906"/>
          </a:xfrm>
          <a:prstGeom prst="roundRect">
            <a:avLst>
              <a:gd name="adj" fmla="val 1214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  <xdr:sp macro="" textlink="">
        <xdr:nvSpPr>
          <xdr:cNvPr id="4097" name="Text Box 1">
            <a:extLst>
              <a:ext uri="{FF2B5EF4-FFF2-40B4-BE49-F238E27FC236}">
                <a16:creationId xmlns:a16="http://schemas.microsoft.com/office/drawing/2014/main" id="{4B4039FA-0E46-C341-0154-C734F80B78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86062" y="1226341"/>
            <a:ext cx="1774032" cy="457200"/>
          </a:xfrm>
          <a:prstGeom prst="rect">
            <a:avLst/>
          </a:prstGeom>
          <a:solidFill>
            <a:srgbClr val="E8E6E9"/>
          </a:solidFill>
          <a:ln w="9525">
            <a:noFill/>
            <a:miter lim="800000"/>
            <a:headEnd/>
            <a:tailEnd/>
          </a:ln>
          <a:effectLst>
            <a:softEdge rad="31750"/>
          </a:effectLst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400" b="1" i="0" u="none" strike="noStrike" baseline="0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EA Play </a:t>
            </a:r>
            <a:r>
              <a:rPr lang="pt-BR" sz="1400" b="1" i="0" u="none" strike="noStrike" baseline="0">
                <a:solidFill>
                  <a:srgbClr val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Season Pass</a:t>
            </a:r>
          </a:p>
        </xdr:txBody>
      </xdr:sp>
      <xdr:sp macro="" textlink="C̳álculos!D38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D46333E-A432-4744-A6D8-AE0057129A94}"/>
              </a:ext>
            </a:extLst>
          </xdr:cNvPr>
          <xdr:cNvSpPr/>
        </xdr:nvSpPr>
        <xdr:spPr>
          <a:xfrm>
            <a:off x="2665904" y="1541064"/>
            <a:ext cx="2001345" cy="518718"/>
          </a:xfrm>
          <a:prstGeom prst="roundRect">
            <a:avLst>
              <a:gd name="adj" fmla="val 1214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C735CF9-C6FF-4EA2-9B31-57AFA09F5A7A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R$ 2.340 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532378</xdr:colOff>
      <xdr:row>5</xdr:row>
      <xdr:rowOff>52726</xdr:rowOff>
    </xdr:from>
    <xdr:to>
      <xdr:col>12</xdr:col>
      <xdr:colOff>204107</xdr:colOff>
      <xdr:row>9</xdr:row>
      <xdr:rowOff>68035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F4F24DA4-0669-A9FC-1081-19690720323B}"/>
            </a:ext>
          </a:extLst>
        </xdr:cNvPr>
        <xdr:cNvGrpSpPr/>
      </xdr:nvGrpSpPr>
      <xdr:grpSpPr>
        <a:xfrm>
          <a:off x="6914128" y="1549512"/>
          <a:ext cx="3753872" cy="1376023"/>
          <a:chOff x="5203031" y="1131094"/>
          <a:chExt cx="2678906" cy="1154906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3DE962C0-CF4C-EC9F-7C07-F1F5231B7B9A}"/>
              </a:ext>
            </a:extLst>
          </xdr:cNvPr>
          <xdr:cNvSpPr/>
        </xdr:nvSpPr>
        <xdr:spPr>
          <a:xfrm>
            <a:off x="5203031" y="1131094"/>
            <a:ext cx="2678906" cy="1154906"/>
          </a:xfrm>
          <a:prstGeom prst="roundRect">
            <a:avLst>
              <a:gd name="adj" fmla="val 1214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  <xdr:sp macro="" textlink="">
        <xdr:nvSpPr>
          <xdr:cNvPr id="14" name="Text Box 1">
            <a:extLst>
              <a:ext uri="{FF2B5EF4-FFF2-40B4-BE49-F238E27FC236}">
                <a16:creationId xmlns:a16="http://schemas.microsoft.com/office/drawing/2014/main" id="{73B3737E-0F20-906F-0F40-4730FA71E6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24499" y="1262059"/>
            <a:ext cx="2047876" cy="457200"/>
          </a:xfrm>
          <a:prstGeom prst="rect">
            <a:avLst/>
          </a:prstGeom>
          <a:solidFill>
            <a:srgbClr val="E8E6E9"/>
          </a:solidFill>
          <a:ln w="9525">
            <a:noFill/>
            <a:miter lim="800000"/>
            <a:headEnd/>
            <a:tailEnd/>
          </a:ln>
          <a:effectLst>
            <a:softEdge rad="31750"/>
          </a:effectLst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pt-BR" sz="1400" b="1" i="0" u="none" strike="noStrike" baseline="0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Minecraft Season Pass</a:t>
            </a:r>
          </a:p>
        </xdr:txBody>
      </xdr:sp>
      <xdr:sp macro="" textlink="C̳álculos!D50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A08E6751-2871-0B91-803D-49D4EA6854C8}"/>
              </a:ext>
            </a:extLst>
          </xdr:cNvPr>
          <xdr:cNvSpPr/>
        </xdr:nvSpPr>
        <xdr:spPr>
          <a:xfrm>
            <a:off x="5440060" y="1541063"/>
            <a:ext cx="2191845" cy="518718"/>
          </a:xfrm>
          <a:prstGeom prst="roundRect">
            <a:avLst>
              <a:gd name="adj" fmla="val 1214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207C7A2-430D-4CCC-AAF7-024CD7074F02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 R$ 2.940 </a:t>
            </a:fld>
            <a:endParaRPr lang="pt-BR" sz="2000" b="1" i="0" u="none" strike="noStrike">
              <a:solidFill>
                <a:srgbClr val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68036</xdr:colOff>
      <xdr:row>11</xdr:row>
      <xdr:rowOff>81643</xdr:rowOff>
    </xdr:from>
    <xdr:to>
      <xdr:col>12</xdr:col>
      <xdr:colOff>393465</xdr:colOff>
      <xdr:row>29</xdr:row>
      <xdr:rowOff>129268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D438A2A4-0428-6630-69B4-87918EBEE5DA}"/>
            </a:ext>
          </a:extLst>
        </xdr:cNvPr>
        <xdr:cNvGrpSpPr/>
      </xdr:nvGrpSpPr>
      <xdr:grpSpPr>
        <a:xfrm>
          <a:off x="3184072" y="3238500"/>
          <a:ext cx="7673286" cy="3476625"/>
          <a:chOff x="3049142" y="3633107"/>
          <a:chExt cx="7673286" cy="3476625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7690916E-BB9A-C597-1978-D8F4B7343477}"/>
              </a:ext>
            </a:extLst>
          </xdr:cNvPr>
          <xdr:cNvSpPr/>
        </xdr:nvSpPr>
        <xdr:spPr>
          <a:xfrm>
            <a:off x="3049142" y="3633107"/>
            <a:ext cx="7673286" cy="3438557"/>
          </a:xfrm>
          <a:prstGeom prst="roundRect">
            <a:avLst>
              <a:gd name="adj" fmla="val 1214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6531E1FA-EA69-79C2-BC68-F93B68D26D22}"/>
              </a:ext>
            </a:extLst>
          </xdr:cNvPr>
          <xdr:cNvGraphicFramePr>
            <a:graphicFrameLocks/>
          </xdr:cNvGraphicFramePr>
        </xdr:nvGraphicFramePr>
        <xdr:xfrm>
          <a:off x="3461434" y="4159465"/>
          <a:ext cx="6449527" cy="29502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3" name="Text Box 1">
            <a:extLst>
              <a:ext uri="{FF2B5EF4-FFF2-40B4-BE49-F238E27FC236}">
                <a16:creationId xmlns:a16="http://schemas.microsoft.com/office/drawing/2014/main" id="{D59665FF-E924-1952-300C-D5FB4EB922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75337" y="3796393"/>
            <a:ext cx="5362915" cy="457200"/>
          </a:xfrm>
          <a:prstGeom prst="rect">
            <a:avLst/>
          </a:prstGeom>
          <a:solidFill>
            <a:srgbClr val="E8E6E9"/>
          </a:solidFill>
          <a:ln w="9525">
            <a:noFill/>
            <a:miter lim="800000"/>
            <a:headEnd/>
            <a:tailEnd/>
          </a:ln>
          <a:effectLst>
            <a:softEdge rad="31750"/>
          </a:effectLst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pt-BR" sz="1400" b="1" i="0" u="none" strike="noStrike" baseline="0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Subscriotions XBOX Game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Mauricio" refreshedDate="46061.630389120372" createdVersion="8" refreshedVersion="8" minRefreshableVersion="3" recordCount="295" xr:uid="{002CA658-4F46-4515-84CF-3973F7E4EDD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341599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DAB94-D36D-4FE0-813C-D70E4C0568DE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46:B5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6AD01-45C2-4AE0-99A0-97056711D27F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4:B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83E85-6DC2-4890-9EE8-CC6928A19743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7:D11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Col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3"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5AD4BCE-BB4F-40CF-8C7F-E42BC03FC677}" sourceName="Subscription Type">
  <pivotTables>
    <pivotTable tabId="3" name="Tbl_anual_total"/>
    <pivotTable tabId="3" name="Tabela dinâmica2"/>
    <pivotTable tabId="3" name="Tabela dinâmica3"/>
  </pivotTables>
  <data>
    <tabular pivotCacheId="1034159976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4EA003C-85BF-4BE9-8D01-2C3894A6D0B2}" cache="SegmentaçãodeDados_Subscription_Type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1F6932A-A228-42F4-9E7A-9E064119AD42}" cache="SegmentaçãodeDados_Subscription_Type" caption="Subscription Type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275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50"/>
  <sheetViews>
    <sheetView showGridLines="0" topLeftCell="A34" workbookViewId="0">
      <selection activeCell="A43" sqref="A43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4" width="12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4" x14ac:dyDescent="0.25">
      <c r="A1" t="s">
        <v>316</v>
      </c>
    </row>
    <row r="2" spans="1:4" x14ac:dyDescent="0.25">
      <c r="A2" t="s">
        <v>317</v>
      </c>
    </row>
    <row r="7" spans="1:4" x14ac:dyDescent="0.25">
      <c r="A7" s="12" t="s">
        <v>315</v>
      </c>
      <c r="B7" s="12" t="s">
        <v>318</v>
      </c>
    </row>
    <row r="8" spans="1:4" x14ac:dyDescent="0.25">
      <c r="A8" s="12" t="s">
        <v>313</v>
      </c>
      <c r="B8" t="s">
        <v>23</v>
      </c>
      <c r="C8" t="s">
        <v>19</v>
      </c>
      <c r="D8" t="s">
        <v>314</v>
      </c>
    </row>
    <row r="9" spans="1:4" x14ac:dyDescent="0.25">
      <c r="A9" s="13" t="s">
        <v>20</v>
      </c>
      <c r="B9" s="14">
        <v>2824</v>
      </c>
      <c r="C9" s="14">
        <v>747</v>
      </c>
      <c r="D9" s="14">
        <v>3571</v>
      </c>
    </row>
    <row r="10" spans="1:4" x14ac:dyDescent="0.25">
      <c r="A10" s="13" t="s">
        <v>27</v>
      </c>
      <c r="B10" s="14">
        <v>806</v>
      </c>
      <c r="C10" s="14">
        <v>1502</v>
      </c>
      <c r="D10" s="14">
        <v>2308</v>
      </c>
    </row>
    <row r="11" spans="1:4" x14ac:dyDescent="0.25">
      <c r="A11" s="13" t="s">
        <v>314</v>
      </c>
      <c r="B11" s="14">
        <v>3630</v>
      </c>
      <c r="C11" s="14">
        <v>2249</v>
      </c>
      <c r="D11" s="14">
        <v>5879</v>
      </c>
    </row>
    <row r="31" spans="1:2" x14ac:dyDescent="0.25">
      <c r="A31" t="s">
        <v>322</v>
      </c>
    </row>
    <row r="32" spans="1:2" x14ac:dyDescent="0.25">
      <c r="A32" s="12" t="s">
        <v>16</v>
      </c>
      <c r="B32" t="s">
        <v>321</v>
      </c>
    </row>
    <row r="34" spans="1:4" x14ac:dyDescent="0.25">
      <c r="A34" s="12" t="s">
        <v>313</v>
      </c>
      <c r="B34" t="s">
        <v>320</v>
      </c>
    </row>
    <row r="35" spans="1:4" x14ac:dyDescent="0.25">
      <c r="A35" s="13" t="s">
        <v>22</v>
      </c>
      <c r="B35" s="16">
        <v>0</v>
      </c>
    </row>
    <row r="36" spans="1:4" x14ac:dyDescent="0.25">
      <c r="A36" s="13" t="s">
        <v>26</v>
      </c>
      <c r="B36" s="16">
        <v>0</v>
      </c>
    </row>
    <row r="37" spans="1:4" x14ac:dyDescent="0.25">
      <c r="A37" s="13" t="s">
        <v>18</v>
      </c>
      <c r="B37" s="16">
        <v>2340</v>
      </c>
    </row>
    <row r="38" spans="1:4" x14ac:dyDescent="0.25">
      <c r="A38" s="13" t="s">
        <v>314</v>
      </c>
      <c r="B38" s="16">
        <v>2340</v>
      </c>
      <c r="D38" s="17">
        <f>GETPIVOTDATA("EA Play Season Pass
Price",$A$34)</f>
        <v>2340</v>
      </c>
    </row>
    <row r="43" spans="1:4" x14ac:dyDescent="0.25">
      <c r="A43" t="s">
        <v>323</v>
      </c>
    </row>
    <row r="44" spans="1:4" x14ac:dyDescent="0.25">
      <c r="A44" s="12" t="s">
        <v>16</v>
      </c>
      <c r="B44" t="s">
        <v>321</v>
      </c>
    </row>
    <row r="46" spans="1:4" x14ac:dyDescent="0.25">
      <c r="A46" s="12" t="s">
        <v>313</v>
      </c>
      <c r="B46" t="s">
        <v>324</v>
      </c>
    </row>
    <row r="47" spans="1:4" x14ac:dyDescent="0.25">
      <c r="A47" s="13" t="s">
        <v>22</v>
      </c>
      <c r="B47" s="14">
        <v>0</v>
      </c>
    </row>
    <row r="48" spans="1:4" x14ac:dyDescent="0.25">
      <c r="A48" s="13" t="s">
        <v>26</v>
      </c>
      <c r="B48" s="14">
        <v>1380</v>
      </c>
    </row>
    <row r="49" spans="1:4" x14ac:dyDescent="0.25">
      <c r="A49" s="13" t="s">
        <v>18</v>
      </c>
      <c r="B49" s="14">
        <v>1560</v>
      </c>
    </row>
    <row r="50" spans="1:4" x14ac:dyDescent="0.25">
      <c r="A50" s="13" t="s">
        <v>314</v>
      </c>
      <c r="B50" s="14">
        <v>2940</v>
      </c>
      <c r="D50" s="17">
        <f>GETPIVOTDATA("Minecraft Season Pass Price",$A$46)</f>
        <v>2940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H31"/>
  <sheetViews>
    <sheetView showGridLines="0" tabSelected="1" zoomScale="70" zoomScaleNormal="70" workbookViewId="0">
      <selection activeCell="A11" sqref="A10:XFD11"/>
    </sheetView>
  </sheetViews>
  <sheetFormatPr defaultColWidth="0" defaultRowHeight="15" zeroHeight="1" x14ac:dyDescent="0.25"/>
  <cols>
    <col min="1" max="1" width="33.85546875" style="4" customWidth="1"/>
    <col min="2" max="2" width="5.42578125" style="7" customWidth="1"/>
    <col min="3" max="3" width="7.28515625" style="7" customWidth="1"/>
    <col min="4" max="14" width="12.140625" style="7" customWidth="1"/>
    <col min="35" max="16384" width="9.140625" hidden="1"/>
  </cols>
  <sheetData>
    <row r="1" spans="1:14" s="15" customFormat="1" x14ac:dyDescent="0.25">
      <c r="A1" s="4"/>
    </row>
    <row r="2" spans="1:14" s="15" customFormat="1" ht="28.5" customHeight="1" x14ac:dyDescent="0.25">
      <c r="A2" s="4"/>
      <c r="B2"/>
      <c r="C2" s="19"/>
      <c r="D2" s="19" t="s">
        <v>319</v>
      </c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15" customFormat="1" ht="25.5" customHeight="1" x14ac:dyDescent="0.25">
      <c r="A3" s="21" t="s">
        <v>326</v>
      </c>
    </row>
    <row r="4" spans="1:14" ht="15.75" customHeight="1" x14ac:dyDescent="0.25"/>
    <row r="5" spans="1:14" ht="32.25" customHeight="1" x14ac:dyDescent="0.25">
      <c r="D5" s="20" t="s">
        <v>325</v>
      </c>
    </row>
    <row r="6" spans="1:14" ht="24.75" customHeight="1" x14ac:dyDescent="0.25"/>
    <row r="7" spans="1:14" ht="24.75" customHeight="1" x14ac:dyDescent="0.25"/>
    <row r="8" spans="1:14" ht="24.75" customHeight="1" x14ac:dyDescent="0.25"/>
    <row r="9" spans="1:14" ht="33" customHeight="1" x14ac:dyDescent="0.25"/>
    <row r="10" spans="1:14" ht="12" customHeight="1" x14ac:dyDescent="0.25"/>
    <row r="11" spans="1:14" ht="12" customHeight="1" x14ac:dyDescent="0.25"/>
    <row r="12" spans="1:14" ht="15" customHeight="1" x14ac:dyDescent="0.25"/>
    <row r="13" spans="1:14" ht="15" customHeight="1" x14ac:dyDescent="0.25"/>
    <row r="14" spans="1:14" ht="15" customHeight="1" x14ac:dyDescent="0.25"/>
    <row r="15" spans="1:14" ht="15" customHeight="1" x14ac:dyDescent="0.25"/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Ingrid Mauricio</cp:lastModifiedBy>
  <dcterms:created xsi:type="dcterms:W3CDTF">2024-12-19T13:13:10Z</dcterms:created>
  <dcterms:modified xsi:type="dcterms:W3CDTF">2026-02-08T20:02:08Z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
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F0E18E91-0D83-40B1-ADF7-84F170CA2684}" xr6:coauthVersionLast="47" xr6:coauthVersionMax="47" xr10:uidLastSave="{00000000-0000-0000-0000-000000000000}"/>
  <bookViews>
    <workbookView xWindow="-120" yWindow="-120" windowWidth="20730" windowHeight="11160" tabRatio="560" xr2:uid="{4EE87F16-EDCF-4BE5-A93E-621099DCB8C8}"/>
  </bookViews>
  <sheets>
    <sheet name="Simulador" sheetId="1" r:id="rId1"/>
    <sheet name="Tab_apoio" sheetId="2" state="hidden" r:id="rId2"/>
  </sheets>
  <definedNames>
    <definedName name="Investimento_mensal">Simulador!$D$12</definedName>
    <definedName name="Investimento_mes">Simulador!$E$26</definedName>
    <definedName name="Patrimonio">Simulador!$D$15</definedName>
    <definedName name="Qtd_anos">Simulador!$D$13</definedName>
    <definedName name="Rendimento_carteira">Simulador!$D$8</definedName>
    <definedName name="Salario">Simulador!$D$7</definedName>
    <definedName name="Taxa_mensal">Simulador!$D$14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D31" i="1"/>
  <c r="E31" i="1" s="1"/>
  <c r="D32" i="1"/>
  <c r="E32" i="1" s="1"/>
  <c r="D33" i="1"/>
  <c r="E33" i="1" s="1"/>
  <c r="D34" i="1"/>
  <c r="D29" i="1"/>
  <c r="E29" i="1" s="1"/>
  <c r="E35" i="1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E30" i="1"/>
  <c r="E34" i="1"/>
  <c r="D15" i="1"/>
  <c r="D16" i="1" s="1"/>
  <c r="D9" i="1"/>
  <c r="D20" i="1"/>
  <c r="E20" i="1" s="1"/>
  <c r="D21" i="1"/>
  <c r="E21" i="1" s="1"/>
  <c r="D22" i="1"/>
  <c r="E22" i="1" s="1"/>
  <c r="D23" i="1"/>
  <c r="E23" i="1" s="1"/>
  <c r="D19" i="1"/>
  <c r="E19" i="1" s="1"/>
</calcChain>
</file>

<file path=xl/sharedStrings.xml><?xml version="1.0" encoding="utf-8"?>
<sst xmlns="http://schemas.openxmlformats.org/spreadsheetml/2006/main" count="70" uniqueCount="33">
  <si>
    <t>Simulador de investimento</t>
  </si>
  <si>
    <t>Investimento mensal</t>
  </si>
  <si>
    <t>Quanto Investir por mês?</t>
  </si>
  <si>
    <t>Por quantos anos?</t>
  </si>
  <si>
    <t>Taxa de Rendimento mensal?</t>
  </si>
  <si>
    <t>Patrimonio Acumulado</t>
  </si>
  <si>
    <t>Dividendos Mensais?</t>
  </si>
  <si>
    <t>Cenários</t>
  </si>
  <si>
    <t>2 anos</t>
  </si>
  <si>
    <t>5 anos</t>
  </si>
  <si>
    <t>10 anos</t>
  </si>
  <si>
    <t>20 anos</t>
  </si>
  <si>
    <t>30 anos</t>
  </si>
  <si>
    <t>Dividendo</t>
  </si>
  <si>
    <t>Salario</t>
  </si>
  <si>
    <t>Configurações</t>
  </si>
  <si>
    <t>Rendimentos Carteira</t>
  </si>
  <si>
    <t>Sugestão de investimento</t>
  </si>
  <si>
    <t>Perfil</t>
  </si>
  <si>
    <t>Agressivo</t>
  </si>
  <si>
    <t>Valor a ser investido por mês</t>
  </si>
  <si>
    <t>Tipo de FII</t>
  </si>
  <si>
    <t>% Sugestão</t>
  </si>
  <si>
    <t>Valores</t>
  </si>
  <si>
    <t>Papel</t>
  </si>
  <si>
    <t>Tijolo</t>
  </si>
  <si>
    <t>Hibridos</t>
  </si>
  <si>
    <t>FOF's</t>
  </si>
  <si>
    <t>Desenvolvimento</t>
  </si>
  <si>
    <t>Hotelarias</t>
  </si>
  <si>
    <t>Moderado</t>
  </si>
  <si>
    <t>Chave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</si>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</sst>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 style="thin">
        <color theme="9" tint="0.39994506668294322"/>
      </top>
      <bottom style="medium">
        <color indexed="64"/>
      </bottom>
      <diagonal/>
    </border>
    <border>
      <left style="thin">
        <color theme="9" tint="0.39994506668294322"/>
      </left>
      <right style="medium">
        <color indexed="64"/>
      </right>
      <top style="thin">
        <color theme="9" tint="0.3999450666829432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 style="medium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medium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indexed="64"/>
      </right>
      <top style="medium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9" tint="0.39994506668294322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4506668294322"/>
      </bottom>
      <diagonal/>
    </border>
    <border>
      <left/>
      <right style="medium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medium">
        <color indexed="64"/>
      </bottom>
      <diagonal/>
    </border>
    <border>
      <left/>
      <right style="medium">
        <color indexed="64"/>
      </right>
      <top style="thin">
        <color theme="9" tint="0.39994506668294322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9" tint="0.39994506668294322"/>
      </bottom>
      <diagonal/>
    </border>
    <border>
      <left style="medium">
        <color indexed="64"/>
      </left>
      <right/>
      <top style="medium">
        <color indexed="64"/>
      </top>
      <bottom style="thin">
        <color theme="9" tint="0.399945066682943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5" fillId="4" borderId="1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13" xfId="1" applyNumberFormat="1" applyFont="1" applyBorder="1" applyAlignment="1">
      <alignment horizontal="center" vertical="center"/>
    </xf>
    <xf numFmtId="166" fontId="0" fillId="0" borderId="16" xfId="1" applyNumberFormat="1" applyFont="1" applyBorder="1" applyAlignment="1">
      <alignment horizontal="center" vertical="center"/>
    </xf>
    <xf numFmtId="166" fontId="0" fillId="0" borderId="20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6" fontId="0" fillId="0" borderId="8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10" fontId="0" fillId="0" borderId="8" xfId="2" applyNumberFormat="1" applyFont="1" applyBorder="1" applyAlignment="1">
      <alignment horizontal="center" vertical="center"/>
    </xf>
    <xf numFmtId="10" fontId="0" fillId="0" borderId="23" xfId="2" applyNumberFormat="1" applyFont="1" applyBorder="1" applyAlignment="1">
      <alignment horizontal="center" vertical="center"/>
    </xf>
    <xf numFmtId="8" fontId="0" fillId="0" borderId="24" xfId="1" applyNumberFormat="1" applyFont="1" applyBorder="1" applyAlignment="1">
      <alignment horizontal="center" vertical="center"/>
    </xf>
    <xf numFmtId="8" fontId="0" fillId="0" borderId="25" xfId="1" applyNumberFormat="1" applyFont="1" applyBorder="1" applyAlignment="1">
      <alignment horizontal="center" vertical="center"/>
    </xf>
    <xf numFmtId="166" fontId="0" fillId="0" borderId="7" xfId="1" applyNumberFormat="1" applyFont="1" applyBorder="1" applyAlignment="1">
      <alignment horizontal="center" vertical="center"/>
    </xf>
    <xf numFmtId="166" fontId="0" fillId="0" borderId="26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8" fontId="0" fillId="3" borderId="8" xfId="0" applyNumberFormat="1" applyFill="1" applyBorder="1" applyAlignment="1">
      <alignment horizontal="center" vertical="center"/>
    </xf>
    <xf numFmtId="8" fontId="0" fillId="3" borderId="23" xfId="0" applyNumberFormat="1" applyFill="1" applyBorder="1" applyAlignment="1">
      <alignment horizontal="center" vertical="center"/>
    </xf>
    <xf numFmtId="8" fontId="0" fillId="3" borderId="24" xfId="0" applyNumberFormat="1" applyFill="1" applyBorder="1" applyAlignment="1">
      <alignment horizontal="center" vertical="center"/>
    </xf>
    <xf numFmtId="8" fontId="0" fillId="3" borderId="25" xfId="0" applyNumberForma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Border="1"/>
    <xf numFmtId="0" fontId="0" fillId="0" borderId="0" xfId="0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28" xfId="0" applyBorder="1"/>
    <xf numFmtId="0" fontId="0" fillId="0" borderId="28" xfId="0" applyBorder="1" applyAlignment="1">
      <alignment horizontal="center" vertical="center"/>
    </xf>
    <xf numFmtId="9" fontId="0" fillId="0" borderId="28" xfId="2" applyFont="1" applyBorder="1" applyAlignment="1">
      <alignment horizontal="center" vertical="center"/>
    </xf>
    <xf numFmtId="0" fontId="0" fillId="0" borderId="29" xfId="0" applyBorder="1"/>
    <xf numFmtId="0" fontId="0" fillId="0" borderId="29" xfId="0" applyBorder="1" applyAlignment="1">
      <alignment horizontal="center" vertical="center"/>
    </xf>
    <xf numFmtId="9" fontId="0" fillId="0" borderId="29" xfId="2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4486-6612-4900-B920-B0EEA8583103}">
  <dimension ref="B1:H36"/>
  <sheetViews>
    <sheetView showGridLines="0" showRowColHeaders="0" tabSelected="1" topLeftCell="A16" workbookViewId="0">
      <selection activeCell="E35" sqref="C28:E35"/>
    </sheetView>
  </sheetViews>
  <sheetFormatPr defaultColWidth="0" defaultRowHeight="15" zeroHeight="1" x14ac:dyDescent="0.25"/>
  <cols>
    <col min="1" max="1" width="3.140625" customWidth="1"/>
    <col min="2" max="2" width="3.140625" style="8" customWidth="1"/>
    <col min="3" max="3" width="30.28515625" style="1" customWidth="1"/>
    <col min="4" max="4" width="17.42578125" style="1" customWidth="1"/>
    <col min="5" max="5" width="17.28515625" style="1" customWidth="1"/>
    <col min="6" max="6" width="9.140625" style="1" customWidth="1"/>
    <col min="7" max="7" width="14.28515625" hidden="1" customWidth="1"/>
    <col min="8" max="8" width="13" hidden="1" customWidth="1"/>
    <col min="9" max="9" width="9.140625" hidden="1" customWidth="1"/>
    <col min="10" max="16384" width="9.140625" hidden="1"/>
  </cols>
  <sheetData>
    <row r="1" spans="2:7" x14ac:dyDescent="0.25"/>
    <row r="2" spans="2:7" ht="15" customHeight="1" x14ac:dyDescent="0.25">
      <c r="C2" s="3" t="s">
        <v>0</v>
      </c>
      <c r="D2" s="3"/>
      <c r="E2" s="3"/>
    </row>
    <row r="3" spans="2:7" ht="15" customHeight="1" x14ac:dyDescent="0.25">
      <c r="C3" s="3"/>
      <c r="D3" s="3"/>
      <c r="E3" s="3"/>
    </row>
    <row r="4" spans="2:7" s="4" customFormat="1" ht="18.75" x14ac:dyDescent="0.3">
      <c r="B4" s="7"/>
      <c r="C4" s="3"/>
      <c r="D4" s="3"/>
      <c r="E4" s="3"/>
      <c r="F4" s="1"/>
      <c r="G4"/>
    </row>
    <row r="5" spans="2:7" ht="15.75" thickBot="1" x14ac:dyDescent="0.3">
      <c r="B5"/>
    </row>
    <row r="6" spans="2:7" ht="18.75" x14ac:dyDescent="0.25">
      <c r="B6"/>
      <c r="C6" s="38" t="s">
        <v>15</v>
      </c>
      <c r="D6" s="22"/>
      <c r="E6" s="23"/>
    </row>
    <row r="7" spans="2:7" ht="15.75" x14ac:dyDescent="0.25">
      <c r="B7"/>
      <c r="C7" s="20" t="s">
        <v>14</v>
      </c>
      <c r="D7" s="24">
        <v>5000</v>
      </c>
      <c r="E7" s="25"/>
    </row>
    <row r="8" spans="2:7" ht="15.75" x14ac:dyDescent="0.25">
      <c r="B8"/>
      <c r="C8" s="20" t="s">
        <v>16</v>
      </c>
      <c r="D8" s="26">
        <v>6.0000000000000001E-3</v>
      </c>
      <c r="E8" s="27"/>
    </row>
    <row r="9" spans="2:7" ht="16.5" thickBot="1" x14ac:dyDescent="0.3">
      <c r="C9" s="21" t="s">
        <v>17</v>
      </c>
      <c r="D9" s="28">
        <f>Salario*30%</f>
        <v>1500</v>
      </c>
      <c r="E9" s="29"/>
    </row>
    <row r="10" spans="2:7" ht="15.75" thickBot="1" x14ac:dyDescent="0.3"/>
    <row r="11" spans="2:7" ht="19.5" customHeight="1" x14ac:dyDescent="0.25">
      <c r="C11" s="5" t="s">
        <v>1</v>
      </c>
      <c r="D11" s="9"/>
      <c r="E11" s="6"/>
    </row>
    <row r="12" spans="2:7" ht="15.75" x14ac:dyDescent="0.25">
      <c r="C12" s="19" t="s">
        <v>2</v>
      </c>
      <c r="D12" s="30">
        <v>500</v>
      </c>
      <c r="E12" s="31"/>
    </row>
    <row r="13" spans="2:7" ht="15.75" x14ac:dyDescent="0.25">
      <c r="C13" s="17" t="s">
        <v>3</v>
      </c>
      <c r="D13" s="32">
        <v>10</v>
      </c>
      <c r="E13" s="33"/>
    </row>
    <row r="14" spans="2:7" ht="15.75" x14ac:dyDescent="0.25">
      <c r="C14" s="17" t="s">
        <v>4</v>
      </c>
      <c r="D14" s="26">
        <v>1.0800000000000001E-2</v>
      </c>
      <c r="E14" s="27"/>
    </row>
    <row r="15" spans="2:7" ht="15.75" x14ac:dyDescent="0.25">
      <c r="C15" s="20" t="s">
        <v>5</v>
      </c>
      <c r="D15" s="34">
        <f>FV(D14,D13*12,D12*-1)</f>
        <v>121728.83312740005</v>
      </c>
      <c r="E15" s="35"/>
      <c r="F15" s="2"/>
    </row>
    <row r="16" spans="2:7" ht="16.5" thickBot="1" x14ac:dyDescent="0.3">
      <c r="C16" s="21" t="s">
        <v>6</v>
      </c>
      <c r="D16" s="36">
        <f>Patrimonio*Rendimento_carteira</f>
        <v>730.37299876440034</v>
      </c>
      <c r="E16" s="37"/>
    </row>
    <row r="17" spans="2:5" ht="15.75" thickBot="1" x14ac:dyDescent="0.3"/>
    <row r="18" spans="2:5" ht="18.75" x14ac:dyDescent="0.25">
      <c r="C18" s="10" t="s">
        <v>7</v>
      </c>
      <c r="D18" s="11"/>
      <c r="E18" s="12" t="s">
        <v>13</v>
      </c>
    </row>
    <row r="19" spans="2:5" ht="15.75" x14ac:dyDescent="0.25">
      <c r="B19" s="8">
        <v>2</v>
      </c>
      <c r="C19" s="17" t="s">
        <v>8</v>
      </c>
      <c r="D19" s="15">
        <f>FV($D$14,$B19*12,$D$12*-1)</f>
        <v>13615.431830290796</v>
      </c>
      <c r="E19" s="13">
        <f>D19*$D$8</f>
        <v>81.692590981744772</v>
      </c>
    </row>
    <row r="20" spans="2:5" ht="15.75" x14ac:dyDescent="0.25">
      <c r="B20" s="8">
        <v>5</v>
      </c>
      <c r="C20" s="17" t="s">
        <v>9</v>
      </c>
      <c r="D20" s="15">
        <f>FV($D$14,$B20*12,$D$12*-1)</f>
        <v>41902.00967962922</v>
      </c>
      <c r="E20" s="13">
        <f>D20*$D$8</f>
        <v>251.41205807777533</v>
      </c>
    </row>
    <row r="21" spans="2:5" ht="15.75" x14ac:dyDescent="0.25">
      <c r="B21" s="8">
        <v>10</v>
      </c>
      <c r="C21" s="17" t="s">
        <v>10</v>
      </c>
      <c r="D21" s="15">
        <f>FV($D$14,$B21*12,$D$12*-1)</f>
        <v>121728.83312740005</v>
      </c>
      <c r="E21" s="13">
        <f>D21*$D$8</f>
        <v>730.37299876440034</v>
      </c>
    </row>
    <row r="22" spans="2:5" ht="15.75" x14ac:dyDescent="0.25">
      <c r="B22" s="8">
        <v>20</v>
      </c>
      <c r="C22" s="17" t="s">
        <v>11</v>
      </c>
      <c r="D22" s="15">
        <f>FV($D$14,$B22*12,$D$12*-1)</f>
        <v>563524.49664926168</v>
      </c>
      <c r="E22" s="13">
        <f>D22*$D$8</f>
        <v>3381.14697989557</v>
      </c>
    </row>
    <row r="23" spans="2:5" ht="16.5" thickBot="1" x14ac:dyDescent="0.3">
      <c r="B23" s="8">
        <v>30</v>
      </c>
      <c r="C23" s="18" t="s">
        <v>12</v>
      </c>
      <c r="D23" s="16">
        <f>FV($D$14,$B23*12,$D$12*-1)</f>
        <v>2166952.4051583759</v>
      </c>
      <c r="E23" s="14">
        <f>D23*$D$8</f>
        <v>13001.714430950255</v>
      </c>
    </row>
    <row r="24" spans="2:5" ht="16.5" thickBot="1" x14ac:dyDescent="0.3">
      <c r="C24" s="39"/>
      <c r="D24" s="40"/>
      <c r="E24" s="40"/>
    </row>
    <row r="25" spans="2:5" x14ac:dyDescent="0.25">
      <c r="C25" s="63" t="s">
        <v>18</v>
      </c>
      <c r="D25" s="64"/>
      <c r="E25" s="55" t="s">
        <v>32</v>
      </c>
    </row>
    <row r="26" spans="2:5" ht="15.75" thickBot="1" x14ac:dyDescent="0.3">
      <c r="C26" s="65" t="s">
        <v>20</v>
      </c>
      <c r="D26" s="66"/>
      <c r="E26" s="57">
        <v>500</v>
      </c>
    </row>
    <row r="27" spans="2:5" ht="16.5" thickBot="1" x14ac:dyDescent="0.3">
      <c r="C27" s="39"/>
      <c r="D27" s="40"/>
      <c r="E27" s="40"/>
    </row>
    <row r="28" spans="2:5" x14ac:dyDescent="0.25">
      <c r="C28" s="54" t="s">
        <v>21</v>
      </c>
      <c r="D28" s="58" t="s">
        <v>22</v>
      </c>
      <c r="E28" s="59" t="s">
        <v>23</v>
      </c>
    </row>
    <row r="29" spans="2:5" x14ac:dyDescent="0.25">
      <c r="C29" s="2" t="s">
        <v>24</v>
      </c>
      <c r="D29" s="47">
        <f>VLOOKUP($E$25&amp;"-"&amp;C29,Tab_apoio!A:D,4,0)</f>
        <v>0.3</v>
      </c>
      <c r="E29" s="60">
        <f>Investimento_mes*$D29</f>
        <v>150</v>
      </c>
    </row>
    <row r="30" spans="2:5" x14ac:dyDescent="0.25">
      <c r="C30" s="2" t="s">
        <v>25</v>
      </c>
      <c r="D30" s="47">
        <f>VLOOKUP($E$25&amp;"-"&amp;C30,Tab_apoio!A:D,4,0)</f>
        <v>0.5</v>
      </c>
      <c r="E30" s="60">
        <f>Investimento_mes*$D30</f>
        <v>250</v>
      </c>
    </row>
    <row r="31" spans="2:5" x14ac:dyDescent="0.25">
      <c r="C31" s="2" t="s">
        <v>26</v>
      </c>
      <c r="D31" s="47">
        <f>VLOOKUP($E$25&amp;"-"&amp;C31,Tab_apoio!A:D,4,0)</f>
        <v>0.1</v>
      </c>
      <c r="E31" s="60">
        <f>Investimento_mes*$D31</f>
        <v>50</v>
      </c>
    </row>
    <row r="32" spans="2:5" x14ac:dyDescent="0.25">
      <c r="C32" s="2" t="s">
        <v>27</v>
      </c>
      <c r="D32" s="47">
        <f>VLOOKUP($E$25&amp;"-"&amp;C32,Tab_apoio!A:D,4,0)</f>
        <v>0.1</v>
      </c>
      <c r="E32" s="60">
        <f>Investimento_mes*$D32</f>
        <v>50</v>
      </c>
    </row>
    <row r="33" spans="3:5" x14ac:dyDescent="0.25">
      <c r="C33" s="2" t="s">
        <v>28</v>
      </c>
      <c r="D33" s="47">
        <f>VLOOKUP($E$25&amp;"-"&amp;C33,Tab_apoio!A:D,4,0)</f>
        <v>0</v>
      </c>
      <c r="E33" s="60">
        <f>Investimento_mes*$D33</f>
        <v>0</v>
      </c>
    </row>
    <row r="34" spans="3:5" x14ac:dyDescent="0.25">
      <c r="C34" s="2" t="s">
        <v>29</v>
      </c>
      <c r="D34" s="47">
        <f>VLOOKUP($E$25&amp;"-"&amp;C34,Tab_apoio!A:D,4,0)</f>
        <v>0</v>
      </c>
      <c r="E34" s="60">
        <f>Investimento_mes*$D34</f>
        <v>0</v>
      </c>
    </row>
    <row r="35" spans="3:5" ht="15.75" thickBot="1" x14ac:dyDescent="0.3">
      <c r="C35" s="56"/>
      <c r="D35" s="61"/>
      <c r="E35" s="62">
        <f>SUM(E29:E34)</f>
        <v>500</v>
      </c>
    </row>
    <row r="36" spans="3:5" x14ac:dyDescent="0.25"/>
  </sheetData>
  <mergeCells count="14">
    <mergeCell ref="D16:E16"/>
    <mergeCell ref="C11:E11"/>
    <mergeCell ref="C6:E6"/>
    <mergeCell ref="C25:D25"/>
    <mergeCell ref="C26:D26"/>
    <mergeCell ref="D8:E8"/>
    <mergeCell ref="D9:E9"/>
    <mergeCell ref="D12:E12"/>
    <mergeCell ref="D13:E13"/>
    <mergeCell ref="D14:E14"/>
    <mergeCell ref="D15:E15"/>
    <mergeCell ref="C18:D18"/>
    <mergeCell ref="C2:E4"/>
    <mergeCell ref="D7:E7"/>
  </mergeCells>
  <dataValidations count="1">
    <dataValidation type="list" allowBlank="1" showInputMessage="1" showErrorMessage="1" sqref="E25" xr:uid="{1828F15F-D4F9-445E-A594-5ECE75253212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14AB-3C81-4459-A3ED-C8B57287995D}">
  <dimension ref="A1:D19"/>
  <sheetViews>
    <sheetView workbookViewId="0">
      <selection activeCell="D8" sqref="D8"/>
    </sheetView>
  </sheetViews>
  <sheetFormatPr defaultRowHeight="15" x14ac:dyDescent="0.25"/>
  <cols>
    <col min="1" max="1" width="29.140625" bestFit="1" customWidth="1"/>
    <col min="2" max="2" width="12.140625" bestFit="1" customWidth="1"/>
    <col min="3" max="3" width="16.85546875" bestFit="1" customWidth="1"/>
    <col min="4" max="4" width="11" bestFit="1" customWidth="1"/>
  </cols>
  <sheetData>
    <row r="1" spans="1:4" x14ac:dyDescent="0.25">
      <c r="A1" s="42" t="s">
        <v>31</v>
      </c>
      <c r="B1" s="42" t="s">
        <v>18</v>
      </c>
      <c r="C1" s="43" t="s">
        <v>21</v>
      </c>
      <c r="D1" s="43" t="s">
        <v>22</v>
      </c>
    </row>
    <row r="2" spans="1:4" x14ac:dyDescent="0.25">
      <c r="A2" s="45" t="str">
        <f>B2&amp;"-"&amp;C2</f>
        <v>Agressivo-Papel</v>
      </c>
      <c r="B2" s="45" t="s">
        <v>19</v>
      </c>
      <c r="C2" s="46" t="s">
        <v>24</v>
      </c>
      <c r="D2" s="47">
        <v>0.5</v>
      </c>
    </row>
    <row r="3" spans="1:4" x14ac:dyDescent="0.25">
      <c r="A3" s="45" t="str">
        <f t="shared" ref="A3:A19" si="0">B3&amp;"-"&amp;C3</f>
        <v>Agressivo-Tijolo</v>
      </c>
      <c r="B3" s="45" t="s">
        <v>19</v>
      </c>
      <c r="C3" s="46" t="s">
        <v>25</v>
      </c>
      <c r="D3" s="47">
        <v>0.1</v>
      </c>
    </row>
    <row r="4" spans="1:4" x14ac:dyDescent="0.25">
      <c r="A4" s="45" t="str">
        <f t="shared" si="0"/>
        <v>Agressivo-Hibridos</v>
      </c>
      <c r="B4" s="45" t="s">
        <v>19</v>
      </c>
      <c r="C4" s="46" t="s">
        <v>26</v>
      </c>
      <c r="D4" s="47">
        <v>0.05</v>
      </c>
    </row>
    <row r="5" spans="1:4" x14ac:dyDescent="0.25">
      <c r="A5" s="45" t="str">
        <f t="shared" si="0"/>
        <v>Agressivo-FOF's</v>
      </c>
      <c r="B5" s="45" t="s">
        <v>19</v>
      </c>
      <c r="C5" s="46" t="s">
        <v>27</v>
      </c>
      <c r="D5" s="47">
        <v>0.05</v>
      </c>
    </row>
    <row r="6" spans="1:4" x14ac:dyDescent="0.25">
      <c r="A6" s="45" t="str">
        <f t="shared" si="0"/>
        <v>Agressivo-Desenvolvimento</v>
      </c>
      <c r="B6" s="45" t="s">
        <v>19</v>
      </c>
      <c r="C6" s="46" t="s">
        <v>28</v>
      </c>
      <c r="D6" s="47">
        <v>0.2</v>
      </c>
    </row>
    <row r="7" spans="1:4" x14ac:dyDescent="0.25">
      <c r="A7" s="45" t="str">
        <f t="shared" si="0"/>
        <v>Agressivo-Hotelarias</v>
      </c>
      <c r="B7" s="45" t="s">
        <v>19</v>
      </c>
      <c r="C7" s="46" t="s">
        <v>29</v>
      </c>
      <c r="D7" s="47">
        <v>0.1</v>
      </c>
    </row>
    <row r="8" spans="1:4" x14ac:dyDescent="0.25">
      <c r="A8" s="48" t="str">
        <f t="shared" si="0"/>
        <v>Moderado-Papel</v>
      </c>
      <c r="B8" s="48" t="s">
        <v>30</v>
      </c>
      <c r="C8" s="49" t="s">
        <v>24</v>
      </c>
      <c r="D8" s="50">
        <v>0.32</v>
      </c>
    </row>
    <row r="9" spans="1:4" x14ac:dyDescent="0.25">
      <c r="A9" s="45" t="str">
        <f t="shared" si="0"/>
        <v>Moderado-Tijolo</v>
      </c>
      <c r="B9" s="45" t="s">
        <v>30</v>
      </c>
      <c r="C9" s="46" t="s">
        <v>25</v>
      </c>
      <c r="D9" s="47">
        <v>0.4</v>
      </c>
    </row>
    <row r="10" spans="1:4" x14ac:dyDescent="0.25">
      <c r="A10" s="45" t="str">
        <f t="shared" si="0"/>
        <v>Moderado-Hibridos</v>
      </c>
      <c r="B10" s="45" t="s">
        <v>30</v>
      </c>
      <c r="C10" s="46" t="s">
        <v>26</v>
      </c>
      <c r="D10" s="47">
        <v>0.08</v>
      </c>
    </row>
    <row r="11" spans="1:4" x14ac:dyDescent="0.25">
      <c r="A11" s="45" t="str">
        <f t="shared" si="0"/>
        <v>Moderado-FOF's</v>
      </c>
      <c r="B11" s="45" t="s">
        <v>30</v>
      </c>
      <c r="C11" s="46" t="s">
        <v>27</v>
      </c>
      <c r="D11" s="47">
        <v>0.1</v>
      </c>
    </row>
    <row r="12" spans="1:4" x14ac:dyDescent="0.25">
      <c r="A12" s="45" t="str">
        <f t="shared" si="0"/>
        <v>Moderado-Desenvolvimento</v>
      </c>
      <c r="B12" s="45" t="s">
        <v>30</v>
      </c>
      <c r="C12" s="46" t="s">
        <v>28</v>
      </c>
      <c r="D12" s="47">
        <v>0.1</v>
      </c>
    </row>
    <row r="13" spans="1:4" x14ac:dyDescent="0.25">
      <c r="A13" s="51" t="str">
        <f t="shared" si="0"/>
        <v>Moderado-Hotelarias</v>
      </c>
      <c r="B13" s="51" t="s">
        <v>30</v>
      </c>
      <c r="C13" s="52" t="s">
        <v>29</v>
      </c>
      <c r="D13" s="53">
        <v>0.1</v>
      </c>
    </row>
    <row r="14" spans="1:4" x14ac:dyDescent="0.25">
      <c r="A14" t="str">
        <f t="shared" si="0"/>
        <v>Conservador-Papel</v>
      </c>
      <c r="B14" s="44" t="s">
        <v>32</v>
      </c>
      <c r="C14" s="1" t="s">
        <v>24</v>
      </c>
      <c r="D14" s="41">
        <v>0.3</v>
      </c>
    </row>
    <row r="15" spans="1:4" x14ac:dyDescent="0.25">
      <c r="A15" t="str">
        <f t="shared" si="0"/>
        <v>Conservador-Tijolo</v>
      </c>
      <c r="B15" s="44" t="s">
        <v>32</v>
      </c>
      <c r="C15" s="1" t="s">
        <v>25</v>
      </c>
      <c r="D15" s="41">
        <v>0.5</v>
      </c>
    </row>
    <row r="16" spans="1:4" x14ac:dyDescent="0.25">
      <c r="A16" t="str">
        <f t="shared" si="0"/>
        <v>Conservador-Hibridos</v>
      </c>
      <c r="B16" s="44" t="s">
        <v>32</v>
      </c>
      <c r="C16" s="1" t="s">
        <v>26</v>
      </c>
      <c r="D16" s="41">
        <v>0.1</v>
      </c>
    </row>
    <row r="17" spans="1:4" x14ac:dyDescent="0.25">
      <c r="A17" t="str">
        <f t="shared" si="0"/>
        <v>Conservador-FOF's</v>
      </c>
      <c r="B17" s="44" t="s">
        <v>32</v>
      </c>
      <c r="C17" s="1" t="s">
        <v>27</v>
      </c>
      <c r="D17" s="41">
        <v>0.1</v>
      </c>
    </row>
    <row r="18" spans="1:4" x14ac:dyDescent="0.25">
      <c r="A18" t="str">
        <f t="shared" si="0"/>
        <v>Conservador-Desenvolvimento</v>
      </c>
      <c r="B18" s="44" t="s">
        <v>32</v>
      </c>
      <c r="C18" s="1" t="s">
        <v>28</v>
      </c>
      <c r="D18" s="41">
        <v>0</v>
      </c>
    </row>
    <row r="19" spans="1:4" x14ac:dyDescent="0.25">
      <c r="A19" t="str">
        <f t="shared" si="0"/>
        <v>Conservador-Hotelarias</v>
      </c>
      <c r="B19" s="44" t="s">
        <v>32</v>
      </c>
      <c r="C19" s="1" t="s">
        <v>29</v>
      </c>
      <c r="D19" s="4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Tab_apoio</vt:lpstr>
      <vt:lpstr>Investimento_mensal</vt:lpstr>
      <vt:lpstr>Investimento_mes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Mauricio</dc:creator>
  <cp:lastModifiedBy>Ingrid Mauricio</cp:lastModifiedBy>
  <dcterms:created xsi:type="dcterms:W3CDTF">2026-01-20T10:46:31Z</dcterms:created>
  <dcterms:modified xsi:type="dcterms:W3CDTF">2026-01-20T11:51:10Z</dcterms:modified>
</cp:coreProperties>
</file>